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oogle Drive\Promotion\Data\Competition Assay\"/>
    </mc:Choice>
  </mc:AlternateContent>
  <xr:revisionPtr revIDLastSave="0" documentId="13_ncr:1_{14863F2B-DEDF-401E-A8B4-0BF0C1C504A6}" xr6:coauthVersionLast="47" xr6:coauthVersionMax="47" xr10:uidLastSave="{00000000-0000-0000-0000-000000000000}"/>
  <bookViews>
    <workbookView xWindow="7680" yWindow="4320" windowWidth="23040" windowHeight="12204" xr2:uid="{00000000-000D-0000-FFFF-FFFF00000000}"/>
  </bookViews>
  <sheets>
    <sheet name="Genotypes" sheetId="1" r:id="rId1"/>
    <sheet name="Spec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D12" i="2"/>
  <c r="D11" i="2"/>
  <c r="B12" i="2"/>
  <c r="B11" i="2"/>
  <c r="L4" i="2"/>
  <c r="L5" i="2"/>
  <c r="L6" i="2"/>
  <c r="L7" i="2"/>
  <c r="L8" i="2"/>
  <c r="L3" i="2"/>
  <c r="K4" i="2"/>
  <c r="K5" i="2"/>
  <c r="K6" i="2"/>
  <c r="K7" i="2"/>
  <c r="K8" i="2"/>
  <c r="K3" i="2"/>
  <c r="J8" i="2"/>
  <c r="J7" i="2"/>
  <c r="J6" i="2"/>
  <c r="J5" i="2"/>
  <c r="J4" i="2"/>
  <c r="J3" i="2"/>
  <c r="I7" i="2"/>
  <c r="I8" i="2"/>
  <c r="I6" i="2"/>
  <c r="I4" i="2"/>
  <c r="I5" i="2"/>
  <c r="I3" i="2"/>
  <c r="H4" i="2"/>
  <c r="H5" i="2"/>
  <c r="H6" i="2"/>
  <c r="H7" i="2"/>
  <c r="H8" i="2"/>
  <c r="H3" i="2"/>
  <c r="G8" i="2"/>
  <c r="F8" i="2"/>
  <c r="E8" i="2"/>
  <c r="G7" i="2"/>
  <c r="F7" i="2"/>
  <c r="E7" i="2"/>
  <c r="G6" i="2"/>
  <c r="F6" i="2"/>
  <c r="E6" i="2"/>
  <c r="E5" i="2"/>
  <c r="G5" i="2" s="1"/>
  <c r="E4" i="2"/>
  <c r="G4" i="2" s="1"/>
  <c r="E3" i="2"/>
  <c r="G3" i="2" s="1"/>
  <c r="F5" i="2" l="1"/>
  <c r="F4" i="2"/>
  <c r="F3" i="2"/>
  <c r="B12" i="1" l="1"/>
  <c r="B11" i="1"/>
  <c r="L5" i="1"/>
  <c r="L6" i="1"/>
  <c r="L7" i="1"/>
  <c r="L8" i="1"/>
  <c r="L4" i="1"/>
  <c r="L3" i="1"/>
  <c r="K4" i="1"/>
  <c r="K5" i="1"/>
  <c r="K6" i="1"/>
  <c r="K7" i="1"/>
  <c r="K8" i="1"/>
  <c r="K3" i="1"/>
  <c r="J8" i="1"/>
  <c r="J7" i="1"/>
  <c r="J6" i="1"/>
  <c r="J5" i="1"/>
  <c r="J4" i="1"/>
  <c r="J3" i="1"/>
  <c r="I7" i="1"/>
  <c r="I8" i="1"/>
  <c r="I6" i="1"/>
  <c r="I4" i="1"/>
  <c r="I5" i="1"/>
  <c r="I3" i="1"/>
  <c r="H4" i="1"/>
  <c r="H5" i="1"/>
  <c r="H6" i="1"/>
  <c r="H7" i="1"/>
  <c r="H8" i="1"/>
  <c r="H3" i="1"/>
  <c r="G4" i="1"/>
  <c r="G5" i="1"/>
  <c r="G6" i="1"/>
  <c r="G7" i="1"/>
  <c r="G8" i="1"/>
  <c r="G3" i="1"/>
  <c r="F4" i="1"/>
  <c r="F5" i="1"/>
  <c r="F6" i="1"/>
  <c r="F7" i="1"/>
  <c r="F8" i="1"/>
  <c r="F3" i="1"/>
  <c r="E8" i="1"/>
  <c r="E7" i="1"/>
  <c r="E6" i="1"/>
  <c r="E5" i="1"/>
  <c r="E4" i="1"/>
  <c r="E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tc={D47B3F4E-069A-4494-BA9E-BF6D65C25F30}</author>
    <author>tc={9BC78F56-9834-4186-BD3E-F507752D3A5B}</author>
    <author>tc={1705A9D0-6072-4D0E-BFA5-21DBA8298FDE}</author>
  </authors>
  <commentList>
    <comment ref="I2" authorId="0" shapeId="0" xr:uid="{D47B3F4E-069A-4494-BA9E-BF6D65C25F3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cell concentration times the proportion of stained cells</t>
      </text>
    </comment>
    <comment ref="J2" authorId="1" shapeId="0" xr:uid="{9BC78F56-9834-4186-BD3E-F507752D3A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When the stained mono-culture was combined in different ration with the unstained mono-culture the concentration of stained cell get diluted. To yield the concentration of stained cells in the stained mono-culutre we have to account for that using the inverse of that dilution ration.
The dilution ration is: Volume stained/ (Volume stained + Volume unstained)
Volume stained + Volume unstained = 5.3
from this follows that the inverse (the conversion factor) is always 5.3ml/Volume stained.
</t>
      </text>
    </comment>
    <comment ref="L2" authorId="2" shapeId="0" xr:uid="{1705A9D0-6072-4D0E-BFA5-21DBA8298FD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were 9ml of mono-culture. So for the cell number the cell concentration has to be multiplied by 9.
Importantly, we thus get 3 estimates for the same culture.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tc={387D8CC9-4E0A-44E0-99A2-ACF84AB8BF48}</author>
    <author>tc={E3FDA42F-F526-4451-8951-0CCE0A1C1D08}</author>
    <author>tc={FD3FF6A4-1907-4E73-85E5-7A326F3CF8EB}</author>
  </authors>
  <commentList>
    <comment ref="I2" authorId="0" shapeId="0" xr:uid="{387D8CC9-4E0A-44E0-99A2-ACF84AB8BF4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cell concentration times the proportion of stained cells</t>
      </text>
    </comment>
    <comment ref="J2" authorId="1" shapeId="0" xr:uid="{E3FDA42F-F526-4451-8951-0CCE0A1C1D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When the stained mono-culture was combined in different ration with the unstained mono-culture the concentration of stained cell get diluted. To yield the concentration of stained cells in the stained mono-culutre we have to account for that using the inverse of that dilution ration.
The dilution ration is: Volume stained/ (Volume stained + Volume unstained)
Volume stained + Volume unstained = 5.3
from this follows that the inverse (the conversion factor) is always 5.3ml/Volume stained.
</t>
      </text>
    </comment>
    <comment ref="L2" authorId="2" shapeId="0" xr:uid="{FD3FF6A4-1907-4E73-85E5-7A326F3CF8E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were 9ml of mono-culture. So for the cell number the cell concentration has to be multiplied by 9.
Importantly, we thus get 3 estimates for the same culture.</t>
      </text>
    </comment>
  </commentList>
</comments>
</file>

<file path=xl/sharedStrings.xml><?xml version="1.0" encoding="utf-8"?>
<sst xmlns="http://schemas.openxmlformats.org/spreadsheetml/2006/main" count="46" uniqueCount="34">
  <si>
    <t>Pre-mixes</t>
  </si>
  <si>
    <t>I7 stained vs I6 unstained 0.9:0.1</t>
  </si>
  <si>
    <t>Sample</t>
  </si>
  <si>
    <t>Dilution</t>
  </si>
  <si>
    <t>no. I7 (small/crumbled)</t>
  </si>
  <si>
    <t xml:space="preserve">no. I6 (big/fuzzy) </t>
  </si>
  <si>
    <t>total</t>
  </si>
  <si>
    <t>FreqI7</t>
  </si>
  <si>
    <t>FreqI6</t>
  </si>
  <si>
    <t>I7 stained vs I6 unstained 0.5:0.5</t>
  </si>
  <si>
    <t>I7 stained vs I6 unstained 0.1:0.9</t>
  </si>
  <si>
    <t>I7 unstained vs I6 stained 0.9:0.1</t>
  </si>
  <si>
    <t>I7 unstained vs I6 stained 0.5:0.5</t>
  </si>
  <si>
    <t>I7 unstained vs I6 stained 0.1:0.9</t>
  </si>
  <si>
    <t>Cell/ml pre-mix</t>
  </si>
  <si>
    <t>Cell/ml stained in pre-mix</t>
  </si>
  <si>
    <t>Cell/ml stained mono-culture</t>
  </si>
  <si>
    <t>conversion factor</t>
  </si>
  <si>
    <t>Cell number in monoculutre</t>
  </si>
  <si>
    <t>Cell Number Estimate I7 stained</t>
  </si>
  <si>
    <t>Cell Number Estimate I6 stained</t>
  </si>
  <si>
    <t>Pf stained vs Ec unstained 0.9:0.1</t>
  </si>
  <si>
    <t>Pf  stained vs Ec unstained 0.5:0.5</t>
  </si>
  <si>
    <t>Pf  stained vs Ec unstained 0.1:0.9</t>
  </si>
  <si>
    <t>Pf  unstained vs Ec stained 0.9:0.1</t>
  </si>
  <si>
    <t>Pf  unstained vs Ec stained 0.5:0.5</t>
  </si>
  <si>
    <t>Pf  unstained vs Ec stained 0.1:0.9</t>
  </si>
  <si>
    <t>no. Pf (small/smooth)</t>
  </si>
  <si>
    <t xml:space="preserve">no. Ec (big/fuzzy) </t>
  </si>
  <si>
    <t>FreqPf</t>
  </si>
  <si>
    <t>FreqEc</t>
  </si>
  <si>
    <t>Cell Number Estimate Pf stained</t>
  </si>
  <si>
    <t>Cell Number Estimate Ec stained</t>
  </si>
  <si>
    <t>Cell/ml Estimate in 400µl dye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</si>
</sst>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/>
    <xf numFmtId="0" fontId="1" fillId="0" borderId="0" xfId="0" applyFont="1"/>
    <xf numFmtId="0" fontId="3" fillId="0" borderId="3" xfId="0" applyFont="1" applyBorder="1"/>
    <xf numFmtId="0" fontId="2" fillId="0" borderId="0" xfId="0" applyFont="1"/>
    <xf numFmtId="0" fontId="1" fillId="0" borderId="4" xfId="0" applyFont="1" applyBorder="1"/>
    <xf numFmtId="0" fontId="0" fillId="0" borderId="4" xfId="0" applyBorder="1"/>
    <xf numFmtId="0" fontId="3" fillId="0" borderId="0" xfId="0" applyFont="1"/>
    <xf numFmtId="0" fontId="4" fillId="0" borderId="1" xfId="0" applyFont="1" applyBorder="1"/>
    <xf numFmtId="0" fontId="4" fillId="0" borderId="3" xfId="0" applyFont="1" applyBorder="1"/>
    <xf numFmtId="0" fontId="5" fillId="0" borderId="0" xfId="0" applyFont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us Hoffmann" id="{FFEBD412-A3D7-4F8B-B564-9DFAE06C2FE1}" userId="S::Julius.Hoffmann@uko.bwedu.de::63d8835a-ded5-4fda-ab74-482ac3c2bef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" dT="2026-01-10T16:06:43.66" personId="{FFEBD412-A3D7-4F8B-B564-9DFAE06C2FE1}" id="{D47B3F4E-069A-4494-BA9E-BF6D65C25F30}">
    <text>The cell concentration times the proportion of stained cells</text>
  </threadedComment>
  <threadedComment ref="J2" dT="2026-01-10T16:11:31.51" personId="{FFEBD412-A3D7-4F8B-B564-9DFAE06C2FE1}" id="{9BC78F56-9834-4186-BD3E-F507752D3A5B}">
    <text xml:space="preserve">When the stained mono-culture was combined in different ration with the unstained mono-culture the concentration of stained cell get diluted. To yield the concentration of stained cells in the stained mono-culutre we have to account for that using the inverse of that dilution ration.
The dilution ration is: Volume stained/ (Volume stained + Volume unstained)
Volume stained + Volume unstained = 5.3
from this follows that the inverse (the conversion factor) is always 5.3ml/Volume stained.
</text>
  </threadedComment>
  <threadedComment ref="L2" dT="2026-01-10T16:12:14.54" personId="{FFEBD412-A3D7-4F8B-B564-9DFAE06C2FE1}" id="{1705A9D0-6072-4D0E-BFA5-21DBA8298FDE}">
    <text>There were 9ml of mono-culture. So for the cell number the cell concentration has to be multiplied by 9.
Importantly, we thus get 3 estimates for the same culture.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2" dT="2026-01-10T16:06:43.66" personId="{FFEBD412-A3D7-4F8B-B564-9DFAE06C2FE1}" id="{387D8CC9-4E0A-44E0-99A2-ACF84AB8BF48}">
    <text>The cell concentration times the proportion of stained cells</text>
  </threadedComment>
  <threadedComment ref="J2" dT="2026-01-10T16:11:31.51" personId="{FFEBD412-A3D7-4F8B-B564-9DFAE06C2FE1}" id="{E3FDA42F-F526-4451-8951-0CCE0A1C1D08}">
    <text xml:space="preserve">When the stained mono-culture was combined in different ration with the unstained mono-culture the concentration of stained cell get diluted. To yield the concentration of stained cells in the stained mono-culutre we have to account for that using the inverse of that dilution ration.
The dilution ration is: Volume stained/ (Volume stained + Volume unstained)
Volume stained + Volume unstained = 5.3
from this follows that the inverse (the conversion factor) is always 5.3ml/Volume stained.
</text>
  </threadedComment>
  <threadedComment ref="L2" dT="2026-01-10T16:12:14.54" personId="{FFEBD412-A3D7-4F8B-B564-9DFAE06C2FE1}" id="{FD3FF6A4-1907-4E73-85E5-7A326F3CF8EB}">
    <text>There were 9ml of mono-culture. So for the cell number the cell concentration has to be multiplied by 9.
Importantly, we thus get 3 estimates for the same culture.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D20" sqref="D20"/>
    </sheetView>
  </sheetViews>
  <sheetFormatPr defaultRowHeight="14.4" x14ac:dyDescent="0.3"/>
  <cols>
    <col min="1" max="1" width="28.6640625" bestFit="1" customWidth="1"/>
    <col min="2" max="2" width="12" bestFit="1" customWidth="1"/>
    <col min="3" max="3" width="24.88671875" bestFit="1" customWidth="1"/>
    <col min="4" max="4" width="15" bestFit="1" customWidth="1"/>
    <col min="7" max="7" width="12" bestFit="1" customWidth="1"/>
    <col min="8" max="8" width="22.6640625" bestFit="1" customWidth="1"/>
    <col min="9" max="9" width="31.109375" bestFit="1" customWidth="1"/>
    <col min="10" max="10" width="15.44140625" bestFit="1" customWidth="1"/>
    <col min="11" max="11" width="25" bestFit="1" customWidth="1"/>
    <col min="12" max="12" width="23.77734375" bestFit="1" customWidth="1"/>
  </cols>
  <sheetData>
    <row r="1" spans="1:12" x14ac:dyDescent="0.3">
      <c r="A1" s="4" t="s">
        <v>0</v>
      </c>
    </row>
    <row r="2" spans="1:12" ht="15" thickBot="1" x14ac:dyDescent="0.3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14</v>
      </c>
      <c r="I2" s="5" t="s">
        <v>15</v>
      </c>
      <c r="J2" s="5" t="s">
        <v>17</v>
      </c>
      <c r="K2" s="6" t="s">
        <v>16</v>
      </c>
      <c r="L2" s="6" t="s">
        <v>18</v>
      </c>
    </row>
    <row r="3" spans="1:12" ht="15" thickTop="1" x14ac:dyDescent="0.3">
      <c r="A3" s="3" t="s">
        <v>1</v>
      </c>
      <c r="B3" s="2">
        <v>6</v>
      </c>
      <c r="C3" s="2">
        <v>205</v>
      </c>
      <c r="D3" s="2">
        <v>34</v>
      </c>
      <c r="E3" s="2">
        <f t="shared" ref="E3:E8" si="0">C3+D3</f>
        <v>239</v>
      </c>
      <c r="F3">
        <f>C3/E3</f>
        <v>0.85774058577405854</v>
      </c>
      <c r="G3">
        <f>D3/E3</f>
        <v>0.14225941422594143</v>
      </c>
      <c r="H3">
        <f>(1/(0.1*(1/5)^(B3-1)*0.1)*E3)</f>
        <v>74687499.999999955</v>
      </c>
      <c r="I3">
        <f>H3*F3</f>
        <v>64062499.999999955</v>
      </c>
      <c r="J3">
        <f>5.3/4.77</f>
        <v>1.1111111111111112</v>
      </c>
      <c r="K3">
        <f>I3*J3</f>
        <v>71180555.555555508</v>
      </c>
      <c r="L3">
        <f>K3*9</f>
        <v>640624999.99999952</v>
      </c>
    </row>
    <row r="4" spans="1:12" x14ac:dyDescent="0.3">
      <c r="A4" s="1" t="s">
        <v>9</v>
      </c>
      <c r="B4" s="2">
        <v>6</v>
      </c>
      <c r="C4" s="2">
        <v>156</v>
      </c>
      <c r="D4" s="2">
        <v>233</v>
      </c>
      <c r="E4" s="2">
        <f t="shared" si="0"/>
        <v>389</v>
      </c>
      <c r="F4">
        <f t="shared" ref="F4:F8" si="1">C4/E4</f>
        <v>0.40102827763496146</v>
      </c>
      <c r="G4">
        <f t="shared" ref="G4:G8" si="2">D4/E4</f>
        <v>0.59897172236503859</v>
      </c>
      <c r="H4">
        <f t="shared" ref="H4:H8" si="3">(1/(0.1*(1/5)^(B4-1)*0.1)*E4)</f>
        <v>121562499.99999993</v>
      </c>
      <c r="I4">
        <f t="shared" ref="I4:I5" si="4">H4*F4</f>
        <v>48749999.99999997</v>
      </c>
      <c r="J4">
        <f>5.3/2.65</f>
        <v>2</v>
      </c>
      <c r="K4">
        <f t="shared" ref="K4:K8" si="5">I4*J4</f>
        <v>97499999.99999994</v>
      </c>
      <c r="L4">
        <f>K4*9</f>
        <v>877499999.99999952</v>
      </c>
    </row>
    <row r="5" spans="1:12" x14ac:dyDescent="0.3">
      <c r="A5" s="3" t="s">
        <v>10</v>
      </c>
      <c r="B5" s="2">
        <v>5</v>
      </c>
      <c r="C5" s="2">
        <v>25</v>
      </c>
      <c r="D5" s="2">
        <v>493</v>
      </c>
      <c r="E5" s="2">
        <f t="shared" si="0"/>
        <v>518</v>
      </c>
      <c r="F5">
        <f t="shared" si="1"/>
        <v>4.8262548262548263E-2</v>
      </c>
      <c r="G5">
        <f t="shared" si="2"/>
        <v>0.95173745173745172</v>
      </c>
      <c r="H5">
        <f t="shared" si="3"/>
        <v>32374999.999999981</v>
      </c>
      <c r="I5">
        <f t="shared" si="4"/>
        <v>1562499.9999999991</v>
      </c>
      <c r="J5">
        <f>5.3/0.53</f>
        <v>10</v>
      </c>
      <c r="K5">
        <f t="shared" si="5"/>
        <v>15624999.999999991</v>
      </c>
      <c r="L5">
        <f t="shared" ref="L5:L8" si="6">K5*9</f>
        <v>140624999.99999991</v>
      </c>
    </row>
    <row r="6" spans="1:12" x14ac:dyDescent="0.3">
      <c r="A6" s="1" t="s">
        <v>11</v>
      </c>
      <c r="B6" s="2">
        <v>6</v>
      </c>
      <c r="C6" s="2">
        <v>325</v>
      </c>
      <c r="D6" s="2">
        <v>53</v>
      </c>
      <c r="E6" s="2">
        <f t="shared" si="0"/>
        <v>378</v>
      </c>
      <c r="F6">
        <f t="shared" si="1"/>
        <v>0.85978835978835977</v>
      </c>
      <c r="G6">
        <f t="shared" si="2"/>
        <v>0.1402116402116402</v>
      </c>
      <c r="H6">
        <f t="shared" si="3"/>
        <v>118124999.99999994</v>
      </c>
      <c r="I6">
        <f>H6*G6</f>
        <v>16562499.999999991</v>
      </c>
      <c r="J6">
        <f>5.3/0.53</f>
        <v>10</v>
      </c>
      <c r="K6">
        <f t="shared" si="5"/>
        <v>165624999.99999991</v>
      </c>
      <c r="L6">
        <f t="shared" si="6"/>
        <v>1490624999.9999993</v>
      </c>
    </row>
    <row r="7" spans="1:12" x14ac:dyDescent="0.3">
      <c r="A7" s="1" t="s">
        <v>12</v>
      </c>
      <c r="B7" s="2">
        <v>6</v>
      </c>
      <c r="C7" s="2">
        <v>190</v>
      </c>
      <c r="D7" s="2">
        <v>278</v>
      </c>
      <c r="E7" s="2">
        <f t="shared" si="0"/>
        <v>468</v>
      </c>
      <c r="F7">
        <f t="shared" si="1"/>
        <v>0.40598290598290598</v>
      </c>
      <c r="G7">
        <f t="shared" si="2"/>
        <v>0.59401709401709402</v>
      </c>
      <c r="H7">
        <f t="shared" si="3"/>
        <v>146249999.99999991</v>
      </c>
      <c r="I7">
        <f t="shared" ref="I7:I8" si="7">H7*G7</f>
        <v>86874999.99999994</v>
      </c>
      <c r="J7">
        <f>5.3/2.65</f>
        <v>2</v>
      </c>
      <c r="K7">
        <f t="shared" si="5"/>
        <v>173749999.99999988</v>
      </c>
      <c r="L7">
        <f t="shared" si="6"/>
        <v>1563749999.999999</v>
      </c>
    </row>
    <row r="8" spans="1:12" x14ac:dyDescent="0.3">
      <c r="A8" s="1" t="s">
        <v>13</v>
      </c>
      <c r="B8" s="2">
        <v>7</v>
      </c>
      <c r="C8" s="2">
        <v>55</v>
      </c>
      <c r="D8" s="2">
        <v>6</v>
      </c>
      <c r="E8" s="2">
        <f t="shared" si="0"/>
        <v>61</v>
      </c>
      <c r="F8">
        <f t="shared" si="1"/>
        <v>0.90163934426229508</v>
      </c>
      <c r="G8">
        <f t="shared" si="2"/>
        <v>9.8360655737704916E-2</v>
      </c>
      <c r="H8">
        <f t="shared" si="3"/>
        <v>95312499.999999925</v>
      </c>
      <c r="I8">
        <f t="shared" si="7"/>
        <v>9374999.9999999925</v>
      </c>
      <c r="J8">
        <f>5.3/4.77</f>
        <v>1.1111111111111112</v>
      </c>
      <c r="K8">
        <f t="shared" si="5"/>
        <v>10416666.666666659</v>
      </c>
      <c r="L8">
        <f t="shared" si="6"/>
        <v>93749999.999999925</v>
      </c>
    </row>
    <row r="11" spans="1:12" x14ac:dyDescent="0.3">
      <c r="A11" s="7" t="s">
        <v>19</v>
      </c>
      <c r="B11">
        <f>GEOMEAN(L3:L5)</f>
        <v>429178391.51941103</v>
      </c>
      <c r="C11" t="s">
        <v>33</v>
      </c>
      <c r="D11">
        <f>B11*(1000/400)</f>
        <v>1072945978.7985276</v>
      </c>
    </row>
    <row r="12" spans="1:12" x14ac:dyDescent="0.3">
      <c r="A12" s="7" t="s">
        <v>20</v>
      </c>
      <c r="B12">
        <f>GEOMEAN(L6:L8)</f>
        <v>602331625.70790195</v>
      </c>
      <c r="C12" t="s">
        <v>33</v>
      </c>
      <c r="D12">
        <f>B12*(1000/400)</f>
        <v>1505829064.2697549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589C-C099-4336-9563-B2A6E44DC3A4}">
  <dimension ref="A1:L12"/>
  <sheetViews>
    <sheetView workbookViewId="0">
      <selection activeCell="C19" sqref="C19"/>
    </sheetView>
  </sheetViews>
  <sheetFormatPr defaultRowHeight="14.4" x14ac:dyDescent="0.3"/>
  <cols>
    <col min="1" max="1" width="29.77734375" bestFit="1" customWidth="1"/>
    <col min="2" max="2" width="11" bestFit="1" customWidth="1"/>
    <col min="3" max="3" width="30.33203125" bestFit="1" customWidth="1"/>
    <col min="4" max="4" width="15.33203125" bestFit="1" customWidth="1"/>
    <col min="5" max="5" width="4.88671875" bestFit="1" customWidth="1"/>
    <col min="6" max="7" width="12" bestFit="1" customWidth="1"/>
    <col min="8" max="8" width="10" bestFit="1" customWidth="1"/>
    <col min="9" max="9" width="22" bestFit="1" customWidth="1"/>
    <col min="10" max="10" width="15.44140625" bestFit="1" customWidth="1"/>
    <col min="11" max="11" width="25" bestFit="1" customWidth="1"/>
    <col min="12" max="12" width="23.77734375" bestFit="1" customWidth="1"/>
  </cols>
  <sheetData>
    <row r="1" spans="1:12" x14ac:dyDescent="0.3">
      <c r="A1" s="4" t="s">
        <v>0</v>
      </c>
    </row>
    <row r="2" spans="1:12" ht="15" thickBot="1" x14ac:dyDescent="0.35">
      <c r="A2" s="5" t="s">
        <v>2</v>
      </c>
      <c r="B2" s="5" t="s">
        <v>3</v>
      </c>
      <c r="C2" s="11" t="s">
        <v>27</v>
      </c>
      <c r="D2" s="11" t="s">
        <v>28</v>
      </c>
      <c r="E2" s="5" t="s">
        <v>6</v>
      </c>
      <c r="F2" s="11" t="s">
        <v>29</v>
      </c>
      <c r="G2" s="11" t="s">
        <v>30</v>
      </c>
      <c r="H2" s="5" t="s">
        <v>14</v>
      </c>
      <c r="I2" s="5" t="s">
        <v>15</v>
      </c>
      <c r="J2" s="5" t="s">
        <v>17</v>
      </c>
      <c r="K2" s="6" t="s">
        <v>16</v>
      </c>
      <c r="L2" s="6" t="s">
        <v>18</v>
      </c>
    </row>
    <row r="3" spans="1:12" ht="15" thickTop="1" x14ac:dyDescent="0.3">
      <c r="A3" s="8" t="s">
        <v>21</v>
      </c>
      <c r="B3" s="10">
        <v>7</v>
      </c>
      <c r="C3" s="10">
        <v>177</v>
      </c>
      <c r="D3" s="10">
        <v>6</v>
      </c>
      <c r="E3" s="10">
        <f t="shared" ref="E3:E8" si="0">C3+D3</f>
        <v>183</v>
      </c>
      <c r="F3" s="10">
        <f t="shared" ref="F3:F8" si="1">C3/E3</f>
        <v>0.96721311475409832</v>
      </c>
      <c r="G3" s="10">
        <f t="shared" ref="G3:G8" si="2">D3/E3</f>
        <v>3.2786885245901641E-2</v>
      </c>
      <c r="H3">
        <f>(1/(0.1*(1/5)^(B3-1)*0.1)*E3)</f>
        <v>285937499.99999976</v>
      </c>
      <c r="I3">
        <f>H3*F3</f>
        <v>276562499.99999976</v>
      </c>
      <c r="J3">
        <f>5.3/4.77</f>
        <v>1.1111111111111112</v>
      </c>
      <c r="K3">
        <f>I3*J3</f>
        <v>307291666.66666639</v>
      </c>
      <c r="L3">
        <f>K3*9</f>
        <v>2765624999.9999976</v>
      </c>
    </row>
    <row r="4" spans="1:12" x14ac:dyDescent="0.3">
      <c r="A4" s="8" t="s">
        <v>22</v>
      </c>
      <c r="B4" s="10">
        <v>7</v>
      </c>
      <c r="C4" s="10">
        <v>71</v>
      </c>
      <c r="D4" s="10">
        <v>73</v>
      </c>
      <c r="E4" s="10">
        <f t="shared" si="0"/>
        <v>144</v>
      </c>
      <c r="F4" s="10">
        <f t="shared" si="1"/>
        <v>0.49305555555555558</v>
      </c>
      <c r="G4" s="10">
        <f t="shared" si="2"/>
        <v>0.50694444444444442</v>
      </c>
      <c r="H4">
        <f t="shared" ref="H4:H8" si="3">(1/(0.1*(1/5)^(B4-1)*0.1)*E4)</f>
        <v>224999999.99999982</v>
      </c>
      <c r="I4">
        <f t="shared" ref="I4:I5" si="4">H4*F4</f>
        <v>110937499.99999991</v>
      </c>
      <c r="J4">
        <f>5.3/2.65</f>
        <v>2</v>
      </c>
      <c r="K4">
        <f t="shared" ref="K4:K8" si="5">I4*J4</f>
        <v>221874999.99999982</v>
      </c>
      <c r="L4">
        <f t="shared" ref="L4:L8" si="6">K4*9</f>
        <v>1996874999.9999983</v>
      </c>
    </row>
    <row r="5" spans="1:12" x14ac:dyDescent="0.3">
      <c r="A5" s="9" t="s">
        <v>23</v>
      </c>
      <c r="B5" s="10">
        <v>7</v>
      </c>
      <c r="C5" s="10">
        <v>23</v>
      </c>
      <c r="D5" s="10">
        <v>123</v>
      </c>
      <c r="E5" s="10">
        <f t="shared" si="0"/>
        <v>146</v>
      </c>
      <c r="F5" s="10">
        <f t="shared" si="1"/>
        <v>0.15753424657534246</v>
      </c>
      <c r="G5" s="10">
        <f t="shared" si="2"/>
        <v>0.84246575342465757</v>
      </c>
      <c r="H5">
        <f t="shared" si="3"/>
        <v>228124999.99999982</v>
      </c>
      <c r="I5">
        <f t="shared" si="4"/>
        <v>35937499.99999997</v>
      </c>
      <c r="J5">
        <f>5.3/0.53</f>
        <v>10</v>
      </c>
      <c r="K5">
        <f t="shared" si="5"/>
        <v>359374999.9999997</v>
      </c>
      <c r="L5">
        <f t="shared" si="6"/>
        <v>3234374999.9999971</v>
      </c>
    </row>
    <row r="6" spans="1:12" x14ac:dyDescent="0.3">
      <c r="A6" s="8" t="s">
        <v>24</v>
      </c>
      <c r="B6" s="10">
        <v>7</v>
      </c>
      <c r="C6" s="10">
        <v>110</v>
      </c>
      <c r="D6" s="10">
        <v>11</v>
      </c>
      <c r="E6" s="10">
        <f t="shared" si="0"/>
        <v>121</v>
      </c>
      <c r="F6" s="10">
        <f t="shared" si="1"/>
        <v>0.90909090909090906</v>
      </c>
      <c r="G6" s="10">
        <f t="shared" si="2"/>
        <v>9.0909090909090912E-2</v>
      </c>
      <c r="H6">
        <f t="shared" si="3"/>
        <v>189062499.99999985</v>
      </c>
      <c r="I6">
        <f>H6*G6</f>
        <v>17187499.999999985</v>
      </c>
      <c r="J6">
        <f>5.3/0.53</f>
        <v>10</v>
      </c>
      <c r="K6">
        <f t="shared" si="5"/>
        <v>171874999.99999985</v>
      </c>
      <c r="L6">
        <f t="shared" si="6"/>
        <v>1546874999.9999986</v>
      </c>
    </row>
    <row r="7" spans="1:12" x14ac:dyDescent="0.3">
      <c r="A7" s="8" t="s">
        <v>25</v>
      </c>
      <c r="B7" s="10">
        <v>7</v>
      </c>
      <c r="C7" s="10">
        <v>183</v>
      </c>
      <c r="D7" s="10">
        <v>99</v>
      </c>
      <c r="E7" s="10">
        <f t="shared" si="0"/>
        <v>282</v>
      </c>
      <c r="F7" s="10">
        <f t="shared" si="1"/>
        <v>0.64893617021276595</v>
      </c>
      <c r="G7" s="10">
        <f t="shared" si="2"/>
        <v>0.35106382978723405</v>
      </c>
      <c r="H7">
        <f t="shared" si="3"/>
        <v>440624999.99999964</v>
      </c>
      <c r="I7">
        <f t="shared" ref="I7:I8" si="7">H7*G7</f>
        <v>154687499.99999988</v>
      </c>
      <c r="J7">
        <f>5.3/2.65</f>
        <v>2</v>
      </c>
      <c r="K7">
        <f t="shared" si="5"/>
        <v>309374999.99999976</v>
      </c>
      <c r="L7">
        <f t="shared" si="6"/>
        <v>2784374999.9999981</v>
      </c>
    </row>
    <row r="8" spans="1:12" x14ac:dyDescent="0.3">
      <c r="A8" s="8" t="s">
        <v>26</v>
      </c>
      <c r="B8" s="10">
        <v>7</v>
      </c>
      <c r="C8" s="10">
        <v>28</v>
      </c>
      <c r="D8" s="10">
        <v>169</v>
      </c>
      <c r="E8" s="10">
        <f t="shared" si="0"/>
        <v>197</v>
      </c>
      <c r="F8" s="10">
        <f t="shared" si="1"/>
        <v>0.14213197969543148</v>
      </c>
      <c r="G8" s="10">
        <f t="shared" si="2"/>
        <v>0.85786802030456855</v>
      </c>
      <c r="H8">
        <f t="shared" si="3"/>
        <v>307812499.99999976</v>
      </c>
      <c r="I8">
        <f t="shared" si="7"/>
        <v>264062499.99999979</v>
      </c>
      <c r="J8">
        <f>5.3/4.77</f>
        <v>1.1111111111111112</v>
      </c>
      <c r="K8">
        <f t="shared" si="5"/>
        <v>293402777.77777755</v>
      </c>
      <c r="L8">
        <f t="shared" si="6"/>
        <v>2640624999.9999981</v>
      </c>
    </row>
    <row r="11" spans="1:12" x14ac:dyDescent="0.3">
      <c r="A11" s="7" t="s">
        <v>31</v>
      </c>
      <c r="B11">
        <f>GEOMEAN(L3:L5)</f>
        <v>2614035700.5980968</v>
      </c>
      <c r="C11" t="s">
        <v>33</v>
      </c>
      <c r="D11">
        <f>B11*(1000/400)</f>
        <v>6535089251.4952421</v>
      </c>
    </row>
    <row r="12" spans="1:12" x14ac:dyDescent="0.3">
      <c r="A12" s="7" t="s">
        <v>32</v>
      </c>
      <c r="B12">
        <f>GEOMEAN(L6:L8)</f>
        <v>2248864172.8109407</v>
      </c>
      <c r="C12" t="s">
        <v>33</v>
      </c>
      <c r="D12">
        <f>B12*(1000/400)</f>
        <v>5622160432.0273514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Genotypes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Hoffmann</dc:creator>
  <cp:lastModifiedBy>Julius Hoffmann</cp:lastModifiedBy>
  <dcterms:created xsi:type="dcterms:W3CDTF">2015-06-05T18:19:34Z</dcterms:created>
  <dcterms:modified xsi:type="dcterms:W3CDTF">2026-01-10T16:33:23Z</dcterms:modified>
</cp:coreProperties>
</file>