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oogle Drive\Promotion\Data\Competition Assay\Revisions - Experiment\"/>
    </mc:Choice>
  </mc:AlternateContent>
  <xr:revisionPtr revIDLastSave="0" documentId="13_ncr:1_{6E6D4539-7DF9-4EAF-B41B-78873695C8A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C37" i="1"/>
  <c r="C39" i="1"/>
  <c r="E39" i="1"/>
  <c r="E36" i="1"/>
  <c r="C36" i="1"/>
  <c r="E29" i="1"/>
  <c r="C29" i="1"/>
  <c r="F35" i="1"/>
  <c r="E35" i="1"/>
  <c r="C35" i="1"/>
  <c r="E28" i="1"/>
  <c r="C28" i="1"/>
  <c r="F28" i="1" s="1"/>
</calcChain>
</file>

<file path=xl/sharedStrings.xml><?xml version="1.0" encoding="utf-8"?>
<sst xmlns="http://schemas.openxmlformats.org/spreadsheetml/2006/main" count="43" uniqueCount="29">
  <si>
    <t xml:space="preserve">     2.    5 % King’s B (KB) plates  and 50% PPY plates</t>
  </si>
  <si>
    <t xml:space="preserve">     3.    For each sample, we plated a dilution series on agar (1:10, 1:100,1:1000, 1:10 000, 1:100 000, 1:1 000 000). </t>
  </si>
  <si>
    <t>Media  composition:</t>
  </si>
  <si>
    <t>5 % King’s B (KB) plates</t>
  </si>
  <si>
    <t>50% Proteose peptone Yeast extract (PPY) plates</t>
  </si>
  <si>
    <t>1 g  Proteose peptone N°3</t>
  </si>
  <si>
    <t>10 g Proteose peptone</t>
  </si>
  <si>
    <t>11,28 g  5x M9 salts</t>
  </si>
  <si>
    <t>1,25 g Yeast extract</t>
  </si>
  <si>
    <t>0,5 ml  85% Glycerol</t>
  </si>
  <si>
    <t>per 1 liter of MilliQ</t>
  </si>
  <si>
    <t>15 g  Agar</t>
  </si>
  <si>
    <t>Plates with a dilution of 1:10000 were counted.</t>
  </si>
  <si>
    <t>counts PPY plates :</t>
  </si>
  <si>
    <t>1.</t>
  </si>
  <si>
    <t>2.</t>
  </si>
  <si>
    <t>3.</t>
  </si>
  <si>
    <t>counts KB plates :</t>
  </si>
  <si>
    <t>Ec</t>
  </si>
  <si>
    <t>PF</t>
  </si>
  <si>
    <t xml:space="preserve">(P. fluorescens strain SBW25, Escherichia coli strain ATCC 11303) </t>
  </si>
  <si>
    <t>Ratio EC/PF</t>
  </si>
  <si>
    <t>more Ec</t>
  </si>
  <si>
    <t>more Pf</t>
  </si>
  <si>
    <t>StDV</t>
  </si>
  <si>
    <t>PPY/KB</t>
  </si>
  <si>
    <t>p (t-test) PPY-KB</t>
  </si>
  <si>
    <t xml:space="preserve">     1.    bacterial stocks were revived from the glycerol stocks and preconditioned in 5% King’s B (KB) medium. </t>
  </si>
  <si>
    <t xml:space="preserve">After 24 hours of growth at 28°C, the number of bacterial colonies were counted. Only plates with at lest  30 colonies were evaluated.  Each replicated 3 times.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</si>
</sst>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0"/>
      <color indexed="64"/>
      <name val="Times New Roman"/>
      <family val="1"/>
    </font>
    <font>
      <sz val="11"/>
      <color indexed="64"/>
      <name val="Arial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indent="3"/>
    </xf>
    <xf numFmtId="0" fontId="2" fillId="0" borderId="0" xfId="0" applyFont="1" applyAlignment="1">
      <alignment horizontal="left" indent="3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39"/>
  <sheetViews>
    <sheetView tabSelected="1" zoomScale="178" workbookViewId="0">
      <selection activeCell="B10" sqref="B10"/>
    </sheetView>
  </sheetViews>
  <sheetFormatPr defaultColWidth="8.77734375" defaultRowHeight="14.4" x14ac:dyDescent="0.3"/>
  <cols>
    <col min="1" max="1" width="15.77734375" customWidth="1"/>
    <col min="6" max="6" width="40.33203125" bestFit="1" customWidth="1"/>
  </cols>
  <sheetData>
    <row r="3" spans="1:6" x14ac:dyDescent="0.3">
      <c r="A3" s="1" t="s">
        <v>27</v>
      </c>
    </row>
    <row r="4" spans="1:6" x14ac:dyDescent="0.3">
      <c r="A4" s="2"/>
      <c r="B4" s="3" t="s">
        <v>20</v>
      </c>
    </row>
    <row r="5" spans="1:6" x14ac:dyDescent="0.3">
      <c r="A5" s="2"/>
    </row>
    <row r="6" spans="1:6" x14ac:dyDescent="0.3">
      <c r="A6" s="1" t="s">
        <v>0</v>
      </c>
    </row>
    <row r="7" spans="1:6" x14ac:dyDescent="0.3">
      <c r="A7" s="2"/>
    </row>
    <row r="8" spans="1:6" x14ac:dyDescent="0.3">
      <c r="A8" s="1" t="s">
        <v>1</v>
      </c>
    </row>
    <row r="9" spans="1:6" x14ac:dyDescent="0.3">
      <c r="B9" s="3" t="s">
        <v>28</v>
      </c>
    </row>
    <row r="11" spans="1:6" x14ac:dyDescent="0.3">
      <c r="A11" s="3" t="s">
        <v>2</v>
      </c>
    </row>
    <row r="13" spans="1:6" x14ac:dyDescent="0.3">
      <c r="B13" s="4" t="s">
        <v>3</v>
      </c>
      <c r="F13" s="4" t="s">
        <v>4</v>
      </c>
    </row>
    <row r="14" spans="1:6" x14ac:dyDescent="0.3">
      <c r="B14" s="3" t="s">
        <v>5</v>
      </c>
      <c r="F14" s="3" t="s">
        <v>6</v>
      </c>
    </row>
    <row r="15" spans="1:6" x14ac:dyDescent="0.3">
      <c r="B15" s="3" t="s">
        <v>7</v>
      </c>
      <c r="F15" s="3" t="s">
        <v>8</v>
      </c>
    </row>
    <row r="16" spans="1:6" x14ac:dyDescent="0.3">
      <c r="B16" s="3" t="s">
        <v>9</v>
      </c>
      <c r="F16" s="3" t="s">
        <v>10</v>
      </c>
    </row>
    <row r="17" spans="1:7" x14ac:dyDescent="0.3">
      <c r="B17" s="3" t="s">
        <v>10</v>
      </c>
      <c r="F17" s="3" t="s">
        <v>11</v>
      </c>
    </row>
    <row r="18" spans="1:7" x14ac:dyDescent="0.3">
      <c r="B18" s="3" t="s">
        <v>11</v>
      </c>
    </row>
    <row r="21" spans="1:7" x14ac:dyDescent="0.3">
      <c r="A21" s="3" t="s">
        <v>12</v>
      </c>
    </row>
    <row r="23" spans="1:7" x14ac:dyDescent="0.3">
      <c r="A23" s="5" t="s">
        <v>13</v>
      </c>
      <c r="B23" s="3"/>
      <c r="C23" s="6"/>
      <c r="D23" s="3"/>
      <c r="E23" s="6"/>
    </row>
    <row r="24" spans="1:7" x14ac:dyDescent="0.3">
      <c r="B24" s="3"/>
      <c r="C24" s="6" t="s">
        <v>18</v>
      </c>
      <c r="D24" s="3"/>
      <c r="E24" s="6" t="s">
        <v>19</v>
      </c>
      <c r="F24" s="9" t="s">
        <v>21</v>
      </c>
    </row>
    <row r="25" spans="1:7" x14ac:dyDescent="0.3">
      <c r="B25" s="7" t="s">
        <v>14</v>
      </c>
      <c r="C25" s="8">
        <v>437</v>
      </c>
      <c r="D25" s="7" t="s">
        <v>14</v>
      </c>
      <c r="E25" s="8">
        <v>422</v>
      </c>
    </row>
    <row r="26" spans="1:7" x14ac:dyDescent="0.3">
      <c r="B26" s="7" t="s">
        <v>15</v>
      </c>
      <c r="C26" s="8">
        <v>463</v>
      </c>
      <c r="D26" s="7" t="s">
        <v>15</v>
      </c>
      <c r="E26" s="8">
        <v>495</v>
      </c>
    </row>
    <row r="27" spans="1:7" x14ac:dyDescent="0.3">
      <c r="B27" s="7" t="s">
        <v>16</v>
      </c>
      <c r="C27" s="8">
        <v>457</v>
      </c>
      <c r="D27" s="7" t="s">
        <v>16</v>
      </c>
      <c r="E27" s="8">
        <v>224</v>
      </c>
    </row>
    <row r="28" spans="1:7" x14ac:dyDescent="0.3">
      <c r="C28">
        <f>AVERAGE(C25:C27)</f>
        <v>452.33333333333331</v>
      </c>
      <c r="E28">
        <f>AVERAGE(E25:E27)</f>
        <v>380.33333333333331</v>
      </c>
      <c r="F28">
        <f>C28/E28</f>
        <v>1.1893076248904471</v>
      </c>
      <c r="G28" s="9" t="s">
        <v>23</v>
      </c>
    </row>
    <row r="29" spans="1:7" x14ac:dyDescent="0.3">
      <c r="A29" t="s">
        <v>24</v>
      </c>
      <c r="C29">
        <f>_xlfn.STDEV.S(C25:C27)</f>
        <v>13.613718571108091</v>
      </c>
      <c r="E29">
        <f>_xlfn.STDEV.S(E25:E27)</f>
        <v>140.22244233122365</v>
      </c>
    </row>
    <row r="30" spans="1:7" x14ac:dyDescent="0.3">
      <c r="A30" s="5" t="s">
        <v>17</v>
      </c>
      <c r="B30" s="3"/>
      <c r="C30" s="6"/>
      <c r="D30" s="3"/>
      <c r="E30" s="6"/>
    </row>
    <row r="31" spans="1:7" x14ac:dyDescent="0.3">
      <c r="B31" s="3"/>
      <c r="C31" s="6" t="s">
        <v>18</v>
      </c>
      <c r="D31" s="3"/>
      <c r="E31" s="6" t="s">
        <v>19</v>
      </c>
    </row>
    <row r="32" spans="1:7" x14ac:dyDescent="0.3">
      <c r="B32" s="7" t="s">
        <v>14</v>
      </c>
      <c r="C32" s="8">
        <v>198</v>
      </c>
      <c r="D32" s="7" t="s">
        <v>14</v>
      </c>
      <c r="E32" s="8">
        <v>239</v>
      </c>
    </row>
    <row r="33" spans="1:7" x14ac:dyDescent="0.3">
      <c r="B33" s="7" t="s">
        <v>15</v>
      </c>
      <c r="C33" s="8">
        <v>131</v>
      </c>
      <c r="D33" s="7" t="s">
        <v>15</v>
      </c>
      <c r="E33" s="8">
        <v>244</v>
      </c>
    </row>
    <row r="34" spans="1:7" x14ac:dyDescent="0.3">
      <c r="B34" s="7" t="s">
        <v>16</v>
      </c>
      <c r="C34" s="8">
        <v>243</v>
      </c>
      <c r="D34" s="7" t="s">
        <v>16</v>
      </c>
      <c r="E34" s="8">
        <v>255</v>
      </c>
    </row>
    <row r="35" spans="1:7" x14ac:dyDescent="0.3">
      <c r="C35">
        <f>AVERAGE(C32:C34)</f>
        <v>190.66666666666666</v>
      </c>
      <c r="E35">
        <f>AVERAGE(E32:E34)</f>
        <v>246</v>
      </c>
      <c r="F35">
        <f>C35/E35</f>
        <v>0.77506775067750677</v>
      </c>
      <c r="G35" s="9" t="s">
        <v>22</v>
      </c>
    </row>
    <row r="36" spans="1:7" x14ac:dyDescent="0.3">
      <c r="A36" t="s">
        <v>24</v>
      </c>
      <c r="C36">
        <f>_xlfn.STDEV.S(C32:C34)</f>
        <v>56.358968526165697</v>
      </c>
      <c r="E36">
        <f>_xlfn.STDEV.S(E32:E34)</f>
        <v>8.1853527718724504</v>
      </c>
    </row>
    <row r="37" spans="1:7" x14ac:dyDescent="0.3">
      <c r="A37" t="s">
        <v>26</v>
      </c>
      <c r="C37">
        <f>_xlfn.T.TEST(C25:C27,C32:C34,1,2)</f>
        <v>7.2283017840706044E-4</v>
      </c>
      <c r="E37">
        <f>_xlfn.T.TEST(E25:E27,E32:E34,1,2)</f>
        <v>8.6482111532256781E-2</v>
      </c>
    </row>
    <row r="39" spans="1:7" x14ac:dyDescent="0.3">
      <c r="A39" t="s">
        <v>25</v>
      </c>
      <c r="C39">
        <f>C28/C35</f>
        <v>2.3723776223776225</v>
      </c>
      <c r="E39">
        <f>E28/E35</f>
        <v>1.546070460704607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Julius Hoffmann</cp:lastModifiedBy>
  <cp:revision>1</cp:revision>
  <dcterms:modified xsi:type="dcterms:W3CDTF">2026-02-22T14:26:21Z</dcterms:modified>
</cp:coreProperties>
</file>